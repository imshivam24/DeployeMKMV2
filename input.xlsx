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projects\ISRO-STC\MKM\cli\try\"/>
    </mc:Choice>
  </mc:AlternateContent>
  <xr:revisionPtr revIDLastSave="0" documentId="13_ncr:1_{DB111035-8D5E-407B-9D16-6B93D6D692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actions" sheetId="1" r:id="rId1"/>
    <sheet name="Local Environment" sheetId="2" r:id="rId2"/>
    <sheet name="Input-Output Speci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C23" i="1"/>
  <c r="C22" i="1"/>
  <c r="C21" i="1"/>
  <c r="C20" i="1"/>
  <c r="C19" i="1"/>
  <c r="C18" i="1"/>
  <c r="C17" i="1"/>
  <c r="C16" i="1"/>
  <c r="C15" i="1"/>
  <c r="C14" i="1"/>
  <c r="C13" i="1"/>
  <c r="C11" i="1"/>
  <c r="C9" i="1"/>
  <c r="C8" i="1"/>
  <c r="C7" i="1"/>
  <c r="C6" i="1"/>
  <c r="C5" i="1"/>
  <c r="C4" i="1"/>
  <c r="C3" i="1"/>
  <c r="E19" i="1"/>
  <c r="E26" i="1"/>
  <c r="E28" i="1" l="1"/>
  <c r="E27" i="1"/>
  <c r="E25" i="1"/>
  <c r="E24" i="1"/>
  <c r="E12" i="1"/>
  <c r="E3" i="1"/>
  <c r="E2" i="1"/>
  <c r="E23" i="1"/>
  <c r="E22" i="1"/>
  <c r="E21" i="1"/>
  <c r="E20" i="1"/>
  <c r="E18" i="1"/>
  <c r="E17" i="1"/>
  <c r="E16" i="1"/>
  <c r="E15" i="1"/>
  <c r="E14" i="1"/>
  <c r="E13" i="1"/>
  <c r="E8" i="1"/>
  <c r="E11" i="1"/>
  <c r="E10" i="1"/>
  <c r="E9" i="1"/>
  <c r="E7" i="1"/>
  <c r="E6" i="1"/>
  <c r="E5" i="1"/>
  <c r="E4" i="1"/>
  <c r="D8" i="1" l="1"/>
  <c r="D20" i="1"/>
  <c r="D22" i="1"/>
  <c r="D24" i="1"/>
  <c r="D23" i="1"/>
  <c r="B6" i="3"/>
  <c r="D21" i="1" l="1"/>
  <c r="B4" i="3"/>
  <c r="D2" i="1" l="1"/>
  <c r="D19" i="1"/>
  <c r="D11" i="1"/>
  <c r="D3" i="1"/>
  <c r="D13" i="1" l="1"/>
  <c r="D16" i="1"/>
  <c r="D14" i="1"/>
  <c r="D18" i="1"/>
  <c r="D17" i="1"/>
  <c r="D15" i="1"/>
  <c r="D6" i="1"/>
  <c r="D7" i="1"/>
  <c r="D9" i="1"/>
  <c r="D4" i="1"/>
  <c r="D5" i="1"/>
</calcChain>
</file>

<file path=xl/sharedStrings.xml><?xml version="1.0" encoding="utf-8"?>
<sst xmlns="http://schemas.openxmlformats.org/spreadsheetml/2006/main" count="46" uniqueCount="46">
  <si>
    <t>Reactions</t>
  </si>
  <si>
    <t>G_f</t>
  </si>
  <si>
    <t>G_b</t>
  </si>
  <si>
    <t>CO2 + * → CO2*</t>
  </si>
  <si>
    <t>CO2*  →  CO2*(bent)</t>
  </si>
  <si>
    <t>CH4* → CH4 + *</t>
  </si>
  <si>
    <t>Species</t>
  </si>
  <si>
    <t>OH</t>
  </si>
  <si>
    <t>Pressure</t>
  </si>
  <si>
    <t>V</t>
  </si>
  <si>
    <t>pH</t>
  </si>
  <si>
    <t>CO2</t>
  </si>
  <si>
    <t>CH4</t>
  </si>
  <si>
    <t>CO2*(bent) + H   →  COOH*</t>
  </si>
  <si>
    <t>COOH* + H  → CO* + H2O</t>
  </si>
  <si>
    <t>CO* + H   → CHO*</t>
  </si>
  <si>
    <t>CHO* + H  → CH2O*</t>
  </si>
  <si>
    <t>CH2O* + H  → CH3O*</t>
  </si>
  <si>
    <t>C* + H → CH*</t>
  </si>
  <si>
    <t>CH* + H  → CH2*</t>
  </si>
  <si>
    <t xml:space="preserve">CH2* + H  →CH3* </t>
  </si>
  <si>
    <t>CH3*  + H  → CH4*</t>
  </si>
  <si>
    <t>H</t>
  </si>
  <si>
    <t>CO*  + H → COH*</t>
  </si>
  <si>
    <t>COH* + H  → C* + H2O</t>
  </si>
  <si>
    <t>CH4* + O* + H  → CH4* +OH*</t>
  </si>
  <si>
    <t>CH3O*  + H  → CH3OH*</t>
  </si>
  <si>
    <t>CH3OH</t>
  </si>
  <si>
    <t>H2O</t>
  </si>
  <si>
    <t>CO</t>
  </si>
  <si>
    <t>CO* →  CO+ *</t>
  </si>
  <si>
    <t>CO2*(bent) + H   →  HCOO*</t>
  </si>
  <si>
    <t>HCOO* + H  →  HCOOH*</t>
  </si>
  <si>
    <t>H + * → H*</t>
  </si>
  <si>
    <t>HCOOH</t>
  </si>
  <si>
    <t>H2</t>
  </si>
  <si>
    <t>HCOOH* → HCOOH + *</t>
  </si>
  <si>
    <t>H* + H* → H2 + *  + *</t>
  </si>
  <si>
    <t>CH2O* → CH2O + *</t>
  </si>
  <si>
    <t>CH3OH*  →  CH3OH + *</t>
  </si>
  <si>
    <t>CH2O</t>
  </si>
  <si>
    <t>DelG_rxn</t>
  </si>
  <si>
    <t>Input MKMCXX</t>
  </si>
  <si>
    <t>CH3O* + H + * → CH4* +O*</t>
  </si>
  <si>
    <t>CH4*+OH* + H →CH4* +H2O + *</t>
  </si>
  <si>
    <t>H* + H → H2 +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</si>
</sst>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topLeftCell="A17" zoomScale="160" zoomScaleNormal="160" workbookViewId="0">
      <selection activeCell="E17" sqref="A1:E28"/>
    </sheetView>
  </sheetViews>
  <sheetFormatPr defaultColWidth="9.08984375" defaultRowHeight="15.5" x14ac:dyDescent="0.35"/>
  <cols>
    <col min="1" max="1" width="9.08984375" style="2"/>
    <col min="2" max="2" width="35" style="2" bestFit="1" customWidth="1"/>
    <col min="3" max="3" width="30.90625" style="2" bestFit="1" customWidth="1"/>
    <col min="4" max="16384" width="9.08984375" style="2"/>
  </cols>
  <sheetData>
    <row r="1" spans="1:5" x14ac:dyDescent="0.35">
      <c r="B1" s="1" t="s">
        <v>0</v>
      </c>
      <c r="C1" s="2" t="s">
        <v>1</v>
      </c>
      <c r="D1" s="1" t="s">
        <v>2</v>
      </c>
      <c r="E1" s="2" t="s">
        <v>41</v>
      </c>
    </row>
    <row r="2" spans="1:5" x14ac:dyDescent="0.35">
      <c r="A2" s="3">
        <v>1</v>
      </c>
      <c r="B2" s="1" t="s">
        <v>3</v>
      </c>
      <c r="C2" s="2">
        <v>0</v>
      </c>
      <c r="D2" s="2">
        <f>C2-E2</f>
        <v>26149.212760000002</v>
      </c>
      <c r="E2" s="2">
        <f>(0.0694*('Local Environment'!$B$2)-0.271)*96491.56</f>
        <v>-26149.212760000002</v>
      </c>
    </row>
    <row r="3" spans="1:5" x14ac:dyDescent="0.35">
      <c r="A3" s="3">
        <v>2</v>
      </c>
      <c r="B3" s="1" t="s">
        <v>4</v>
      </c>
      <c r="C3" s="2">
        <f>(0.0265*('Local Environment'!$B$2-0.059*'Local Environment'!$C$2)+0.329)*96491.56</f>
        <v>31594.858685940002</v>
      </c>
      <c r="D3" s="2">
        <f t="shared" ref="D3:D19" si="0">C3-E3</f>
        <v>72024.822325939997</v>
      </c>
      <c r="E3" s="2">
        <f>(0.021*('Local Environment'!$B$2)-0.419)*96491.56</f>
        <v>-40429.963639999994</v>
      </c>
    </row>
    <row r="4" spans="1:5" x14ac:dyDescent="0.35">
      <c r="A4" s="3">
        <v>3</v>
      </c>
      <c r="B4" s="1" t="s">
        <v>13</v>
      </c>
      <c r="C4" s="2">
        <f>(0.553*('Local Environment'!$B$2-0.059*'Local Environment'!$C$2)+0.4704)*96491.56</f>
        <v>42241.399695879998</v>
      </c>
      <c r="D4" s="2">
        <f t="shared" si="0"/>
        <v>41963.88996932</v>
      </c>
      <c r="E4" s="2">
        <f>(0.536*('Local Environment'!$B$2-0.059*'Local Environment'!$C$2)+0.0345)*96491.56</f>
        <v>277.50972656000033</v>
      </c>
    </row>
    <row r="5" spans="1:5" x14ac:dyDescent="0.35">
      <c r="A5" s="3">
        <v>4</v>
      </c>
      <c r="B5" s="1" t="s">
        <v>14</v>
      </c>
      <c r="C5" s="2">
        <f>(0.0389*('Local Environment'!$B$2-0.059*'Local Environment'!$C$2)+0.91)*96491.56</f>
        <v>87585.861820644001</v>
      </c>
      <c r="D5" s="2">
        <f t="shared" si="0"/>
        <v>110979.37211860399</v>
      </c>
      <c r="E5" s="2">
        <f>(0.499*('Local Environment'!$B$2-0.059*'Local Environment'!$C$2)-0.213)*96491.56</f>
        <v>-23393.510297959998</v>
      </c>
    </row>
    <row r="6" spans="1:5" x14ac:dyDescent="0.35">
      <c r="A6" s="3">
        <v>5</v>
      </c>
      <c r="B6" s="1" t="s">
        <v>15</v>
      </c>
      <c r="C6" s="2">
        <f>(0.5513*('Local Environment'!$B$2-0.059*'Local Environment'!$C$2)+0.769)*96491.56</f>
        <v>71063.457615348001</v>
      </c>
      <c r="D6" s="2">
        <f t="shared" si="0"/>
        <v>75231.835112411994</v>
      </c>
      <c r="E6" s="2">
        <f>(0.4966*('Local Environment'!$B$2-0.059*'Local Environment'!$C$2)-0.0139)*96491.56</f>
        <v>-4168.3774970639997</v>
      </c>
    </row>
    <row r="7" spans="1:5" x14ac:dyDescent="0.35">
      <c r="A7" s="3">
        <v>6</v>
      </c>
      <c r="B7" s="1" t="s">
        <v>16</v>
      </c>
      <c r="C7" s="2">
        <f>(0.4729*('Local Environment'!$B$2-0.059*'Local Environment'!$C$2)+0.3789)*96491.56</f>
        <v>33868.431419284003</v>
      </c>
      <c r="D7" s="2">
        <f t="shared" si="0"/>
        <v>119981.16624256401</v>
      </c>
      <c r="E7" s="2">
        <f>(0.482*('Local Environment'!$B$2-0.059*'Local Environment'!$C$2)-0.864)*96491.56</f>
        <v>-86112.73482328</v>
      </c>
    </row>
    <row r="8" spans="1:5" x14ac:dyDescent="0.35">
      <c r="A8" s="3">
        <v>7</v>
      </c>
      <c r="B8" s="1" t="s">
        <v>17</v>
      </c>
      <c r="C8" s="2">
        <f>(0.612*('Local Environment'!$B$2-0.059*'Local Environment'!$C$2)+0.914)*96491.56</f>
        <v>84709.168591519992</v>
      </c>
      <c r="D8" s="2">
        <f t="shared" si="0"/>
        <v>144097.98692344001</v>
      </c>
      <c r="E8" s="2">
        <f>(0.598*('Local Environment'!$B$2-0.059*'Local Environment'!$C$2)-0.5802)*96491.56</f>
        <v>-59388.818331920003</v>
      </c>
    </row>
    <row r="9" spans="1:5" x14ac:dyDescent="0.35">
      <c r="A9" s="3">
        <v>8</v>
      </c>
      <c r="B9" s="1" t="s">
        <v>43</v>
      </c>
      <c r="C9" s="2">
        <f>(1.01*('Local Environment'!$B$2-0.059*'Local Environment'!$C$2)+1.5)*96491.56</f>
        <v>138987.4079396</v>
      </c>
      <c r="D9" s="2">
        <f t="shared" si="0"/>
        <v>224214.49497941998</v>
      </c>
      <c r="E9" s="2">
        <f>(0.9705*('Local Environment'!$B$2-0.059*'Local Environment'!$C$2)-0.826)*96491.56</f>
        <v>-85227.087039819991</v>
      </c>
    </row>
    <row r="10" spans="1:5" x14ac:dyDescent="0.35">
      <c r="A10" s="3">
        <v>9</v>
      </c>
      <c r="B10" s="1" t="s">
        <v>25</v>
      </c>
      <c r="C10" s="2">
        <v>0</v>
      </c>
      <c r="D10" s="2">
        <v>0</v>
      </c>
      <c r="E10" s="2">
        <f>(0.4648*('Local Environment'!$B$2-0.059*'Local Environment'!$C$2)-0.005)*96491.56</f>
        <v>-3128.5651481919999</v>
      </c>
    </row>
    <row r="11" spans="1:5" x14ac:dyDescent="0.35">
      <c r="A11" s="3">
        <v>10</v>
      </c>
      <c r="B11" s="1" t="s">
        <v>44</v>
      </c>
      <c r="C11" s="2">
        <f>(0.3596*('Local Environment'!$B$2-0.059*'Local Environment'!$C$2)+0.049)*96491.56</f>
        <v>2680.8829064160004</v>
      </c>
      <c r="D11" s="2">
        <f t="shared" si="0"/>
        <v>70095.299898931989</v>
      </c>
      <c r="E11" s="2">
        <f>(0.4179*('Local Environment'!$B$2-0.059*'Local Environment'!$C$2)-0.674)*96491.56</f>
        <v>-67414.416992515995</v>
      </c>
    </row>
    <row r="12" spans="1:5" x14ac:dyDescent="0.35">
      <c r="A12" s="3">
        <v>11</v>
      </c>
      <c r="B12" s="1" t="s">
        <v>5</v>
      </c>
      <c r="C12" s="2">
        <v>0</v>
      </c>
      <c r="D12" s="2">
        <v>0</v>
      </c>
      <c r="E12" s="2">
        <f>(0.002*('Local Environment'!$B$2)+0.146)*96491.56</f>
        <v>14087.767759999999</v>
      </c>
    </row>
    <row r="13" spans="1:5" x14ac:dyDescent="0.35">
      <c r="A13" s="3">
        <v>12</v>
      </c>
      <c r="B13" s="1" t="s">
        <v>23</v>
      </c>
      <c r="C13" s="2">
        <f>(0.467*('Local Environment'!$B$2-0.059*'Local Environment'!$C$2)+0.664)*96491.56</f>
        <v>61411.763887319998</v>
      </c>
      <c r="D13" s="2">
        <f t="shared" si="0"/>
        <v>4967.1925256800023</v>
      </c>
      <c r="E13" s="2">
        <f>(0.509*('Local Environment'!$B$2-0.059*'Local Environment'!$C$2)+0.615)*96491.56</f>
        <v>56444.571361639995</v>
      </c>
    </row>
    <row r="14" spans="1:5" x14ac:dyDescent="0.35">
      <c r="A14" s="3">
        <v>13</v>
      </c>
      <c r="B14" s="1" t="s">
        <v>24</v>
      </c>
      <c r="C14" s="2">
        <f>(0.432*('Local Environment'!$B$2-0.059*'Local Environment'!$C$2)+0.771)*96491.56</f>
        <v>71935.615878720011</v>
      </c>
      <c r="D14" s="2">
        <f t="shared" si="0"/>
        <v>63048.569517912008</v>
      </c>
      <c r="E14" s="2">
        <f>(0.4898*('Local Environment'!$B$2-0.059*'Local Environment'!$C$2)+0.121)*96491.56</f>
        <v>8887.046360807999</v>
      </c>
    </row>
    <row r="15" spans="1:5" x14ac:dyDescent="0.35">
      <c r="A15" s="3">
        <v>14</v>
      </c>
      <c r="B15" s="1" t="s">
        <v>18</v>
      </c>
      <c r="C15" s="2">
        <f>(0.079*('Local Environment'!$B$2-0.059*'Local Environment'!$C$2)+0.025)*96491.56</f>
        <v>1962.5418388400003</v>
      </c>
      <c r="D15" s="2">
        <f t="shared" si="0"/>
        <v>129105.533595192</v>
      </c>
      <c r="E15" s="2">
        <f>(0.4688*('Local Environment'!$B$2-0.059*'Local Environment'!$C$2)-1.29)*96491.56</f>
        <v>-127142.991756352</v>
      </c>
    </row>
    <row r="16" spans="1:5" x14ac:dyDescent="0.35">
      <c r="A16" s="3">
        <v>15</v>
      </c>
      <c r="B16" s="1" t="s">
        <v>19</v>
      </c>
      <c r="C16" s="2">
        <f>(0.4567*('Local Environment'!$B$2-0.059*'Local Environment'!$C$2)+0.036)*96491.56</f>
        <v>873.70212833199992</v>
      </c>
      <c r="D16" s="2">
        <f t="shared" si="0"/>
        <v>22085.451412287999</v>
      </c>
      <c r="E16" s="2">
        <f>(0.4039*('Local Environment'!$B$2-0.059*'Local Environment'!$C$2)-0.196)*96491.56</f>
        <v>-21211.749283956</v>
      </c>
    </row>
    <row r="17" spans="1:5" x14ac:dyDescent="0.35">
      <c r="A17" s="3">
        <v>16</v>
      </c>
      <c r="B17" s="1" t="s">
        <v>20</v>
      </c>
      <c r="C17" s="2">
        <f>(0.4089*('Local Environment'!$B$2-0.059*'Local Environment'!$C$2)+0.116)*96491.56</f>
        <v>8865.1524258440004</v>
      </c>
      <c r="D17" s="2">
        <f t="shared" si="0"/>
        <v>86910.420900644007</v>
      </c>
      <c r="E17" s="2">
        <f>(0.37*('Local Environment'!$B$2-0.059*'Local Environment'!$C$2)-0.787)*96491.56</f>
        <v>-78045.268474800003</v>
      </c>
    </row>
    <row r="18" spans="1:5" x14ac:dyDescent="0.35">
      <c r="A18" s="3">
        <v>17</v>
      </c>
      <c r="B18" s="1" t="s">
        <v>21</v>
      </c>
      <c r="C18" s="2">
        <f>(0.4645*('Local Environment'!$B$2-0.059*'Local Environment'!$C$2)+0.455)*96491.56</f>
        <v>41259.260352419995</v>
      </c>
      <c r="D18" s="2">
        <f t="shared" si="0"/>
        <v>113425.10509329999</v>
      </c>
      <c r="E18" s="2">
        <f>(0.422*('Local Environment'!$B$2-0.059*'Local Environment'!$C$2)-0.723)*96491.56</f>
        <v>-72165.844740879998</v>
      </c>
    </row>
    <row r="19" spans="1:5" x14ac:dyDescent="0.35">
      <c r="A19" s="3">
        <v>18</v>
      </c>
      <c r="B19" s="1" t="s">
        <v>26</v>
      </c>
      <c r="C19" s="2">
        <f>(-0.0341*('Local Environment'!$B$2-0.059*'Local Environment'!$C$2)+0.112)*96491.56</f>
        <v>11001.186089564</v>
      </c>
      <c r="D19" s="2">
        <f t="shared" si="0"/>
        <v>26232.417432187998</v>
      </c>
      <c r="E19" s="2">
        <f>(0.2856*('Local Environment'!$B$2-0.059*'Local Environment'!$C$2)-0.141)*96491.56</f>
        <v>-15231.231342624</v>
      </c>
    </row>
    <row r="20" spans="1:5" x14ac:dyDescent="0.35">
      <c r="A20" s="3">
        <v>19</v>
      </c>
      <c r="B20" s="1" t="s">
        <v>31</v>
      </c>
      <c r="C20" s="2">
        <f>(0.505*('Local Environment'!$B$2-0.059*'Local Environment'!$C$2)+0.26)*96491.56</f>
        <v>22212.839569800002</v>
      </c>
      <c r="D20" s="2">
        <f>C20-E20</f>
        <v>99039.03367556</v>
      </c>
      <c r="E20" s="2">
        <f>(0.444*('Local Environment'!$B$2-0.059*'Local Environment'!$C$2)-0.77)*96491.56</f>
        <v>-76826.194105760005</v>
      </c>
    </row>
    <row r="21" spans="1:5" ht="15" customHeight="1" x14ac:dyDescent="0.35">
      <c r="A21" s="3">
        <v>20</v>
      </c>
      <c r="B21" s="1" t="s">
        <v>32</v>
      </c>
      <c r="C21" s="2">
        <f>(0.499*('Local Environment'!$B$2-0.059*'Local Environment'!$C$2)+0.329)*96491.56</f>
        <v>28904.915222040003</v>
      </c>
      <c r="D21" s="2">
        <f>C21-E21</f>
        <v>-15264.366544328001</v>
      </c>
      <c r="E21" s="2">
        <f>(0.5008*('Local Environment'!$B$2-0.059*'Local Environment'!$C$2)+0.4873)*96491.56</f>
        <v>44169.281766368003</v>
      </c>
    </row>
    <row r="22" spans="1:5" ht="15" customHeight="1" x14ac:dyDescent="0.35">
      <c r="A22" s="3">
        <v>21</v>
      </c>
      <c r="B22" s="2" t="s">
        <v>33</v>
      </c>
      <c r="C22" s="2">
        <f>(0.4519*('Local Environment'!$B$2-0.059*'Local Environment'!$C$2)+0.4288)*96491.56</f>
        <v>38802.913306123999</v>
      </c>
      <c r="D22" s="2">
        <f t="shared" ref="D22:D24" si="1">C22-E22</f>
        <v>52144.762710700001</v>
      </c>
      <c r="E22" s="2">
        <f>(0.3944*('Local Environment'!$B$2-0.059*'Local Environment'!$C$2)-0.115)*96491.56</f>
        <v>-13341.849404575998</v>
      </c>
    </row>
    <row r="23" spans="1:5" x14ac:dyDescent="0.35">
      <c r="A23" s="3">
        <v>22</v>
      </c>
      <c r="B23" s="2" t="s">
        <v>45</v>
      </c>
      <c r="C23" s="2">
        <f>(0.4519*('Local Environment'!$B$2-0.059*'Local Environment'!$C$2)+0.4288)*96491.56</f>
        <v>38802.913306123999</v>
      </c>
      <c r="D23" s="2">
        <f t="shared" si="1"/>
        <v>60015.511715807996</v>
      </c>
      <c r="E23" s="2">
        <f>(0.3871*('Local Environment'!$B$2-0.059*'Local Environment'!$C$2)-0.197)*96491.56</f>
        <v>-21212.598409684</v>
      </c>
    </row>
    <row r="24" spans="1:5" x14ac:dyDescent="0.35">
      <c r="A24" s="3">
        <v>23</v>
      </c>
      <c r="B24" s="2" t="s">
        <v>37</v>
      </c>
      <c r="C24" s="2">
        <f>(-0.0077*('Local Environment'!$B$2-0.059*'Local Environment'!$C$2)+0.226)*96491.56</f>
        <v>21850.928675708001</v>
      </c>
      <c r="D24" s="2">
        <f t="shared" si="1"/>
        <v>-64296.736092292005</v>
      </c>
      <c r="E24" s="2">
        <f>(-0.0627*('Local Environment'!$B$2)+0.8928)*96491.56</f>
        <v>86147.664768000002</v>
      </c>
    </row>
    <row r="25" spans="1:5" x14ac:dyDescent="0.35">
      <c r="A25" s="3">
        <v>24</v>
      </c>
      <c r="B25" s="2" t="s">
        <v>30</v>
      </c>
      <c r="C25" s="2">
        <v>0</v>
      </c>
      <c r="D25" s="2">
        <v>0</v>
      </c>
      <c r="E25" s="2">
        <f>(-0.05*('Local Environment'!$B$2)+0.809)*96491.56</f>
        <v>78061.672040000005</v>
      </c>
    </row>
    <row r="26" spans="1:5" ht="15" customHeight="1" x14ac:dyDescent="0.35">
      <c r="A26" s="3">
        <v>25</v>
      </c>
      <c r="B26" s="2" t="s">
        <v>39</v>
      </c>
      <c r="C26" s="2">
        <v>0</v>
      </c>
      <c r="D26" s="2">
        <v>0</v>
      </c>
      <c r="E26" s="2">
        <f>(0.025*('Local Environment'!$B$2)+0.66)*96491.56</f>
        <v>63684.429600000003</v>
      </c>
    </row>
    <row r="27" spans="1:5" ht="15" customHeight="1" x14ac:dyDescent="0.35">
      <c r="A27" s="3">
        <v>26</v>
      </c>
      <c r="B27" s="2" t="s">
        <v>36</v>
      </c>
      <c r="C27" s="2">
        <v>0</v>
      </c>
      <c r="D27" s="2">
        <v>0</v>
      </c>
      <c r="E27" s="2">
        <f>(-0.01629*('Local Environment'!$B$2)+0.8422)*96491.56</f>
        <v>81265.191831999997</v>
      </c>
    </row>
    <row r="28" spans="1:5" x14ac:dyDescent="0.35">
      <c r="A28" s="3">
        <v>27</v>
      </c>
      <c r="B28" s="2" t="s">
        <v>38</v>
      </c>
      <c r="C28" s="2">
        <v>0</v>
      </c>
      <c r="D28" s="2">
        <v>0</v>
      </c>
      <c r="E28" s="2">
        <f>(-0.0311*('Local Environment'!$B$2)+1.077)*96491.56</f>
        <v>103921.41012</v>
      </c>
    </row>
  </sheetData>
  <pageMargins left="0.7" right="0.7" top="0.75" bottom="0.75" header="0.3" footer="0.3"/>
  <ignoredErrors>
    <ignoredError sqref="D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2377F-DFCD-4074-9CB3-96BF879758C6}">
  <dimension ref="A1:C2"/>
  <sheetViews>
    <sheetView workbookViewId="0">
      <selection activeCell="B3" sqref="B3"/>
    </sheetView>
  </sheetViews>
  <sheetFormatPr defaultColWidth="9.08984375" defaultRowHeight="15.5" x14ac:dyDescent="0.35"/>
  <cols>
    <col min="1" max="16384" width="9.08984375" style="2"/>
  </cols>
  <sheetData>
    <row r="1" spans="1:3" x14ac:dyDescent="0.35">
      <c r="A1" s="2" t="s">
        <v>8</v>
      </c>
      <c r="B1" s="2" t="s">
        <v>9</v>
      </c>
      <c r="C1" s="2" t="s">
        <v>10</v>
      </c>
    </row>
    <row r="2" spans="1:3" x14ac:dyDescent="0.35">
      <c r="A2" s="2">
        <v>-1</v>
      </c>
      <c r="B2" s="2">
        <v>0</v>
      </c>
      <c r="C2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AC150-9AE8-46CC-9556-C7678D8957C9}">
  <dimension ref="A1:B11"/>
  <sheetViews>
    <sheetView workbookViewId="0">
      <selection activeCell="B1" sqref="B1"/>
    </sheetView>
  </sheetViews>
  <sheetFormatPr defaultRowHeight="14.5" x14ac:dyDescent="0.35"/>
  <cols>
    <col min="2" max="2" width="28.6328125" customWidth="1"/>
  </cols>
  <sheetData>
    <row r="1" spans="1:2" ht="15.5" x14ac:dyDescent="0.35">
      <c r="A1" s="2" t="s">
        <v>6</v>
      </c>
      <c r="B1" s="2" t="s">
        <v>42</v>
      </c>
    </row>
    <row r="2" spans="1:2" ht="15.5" x14ac:dyDescent="0.35">
      <c r="A2" s="2" t="s">
        <v>28</v>
      </c>
      <c r="B2" s="2">
        <v>1</v>
      </c>
    </row>
    <row r="3" spans="1:2" ht="15.5" x14ac:dyDescent="0.35">
      <c r="A3" s="2" t="s">
        <v>11</v>
      </c>
      <c r="B3" s="2">
        <v>1</v>
      </c>
    </row>
    <row r="4" spans="1:2" ht="15.5" x14ac:dyDescent="0.35">
      <c r="A4" s="2" t="s">
        <v>7</v>
      </c>
      <c r="B4" s="2">
        <f>10^-(14-'Local Environment'!C2)</f>
        <v>1E-13</v>
      </c>
    </row>
    <row r="5" spans="1:2" ht="15.5" x14ac:dyDescent="0.35">
      <c r="A5" s="2" t="s">
        <v>12</v>
      </c>
      <c r="B5" s="2">
        <v>0</v>
      </c>
    </row>
    <row r="6" spans="1:2" ht="15.5" x14ac:dyDescent="0.35">
      <c r="A6" s="2" t="s">
        <v>22</v>
      </c>
      <c r="B6" s="2">
        <f>10^(-'Local Environment'!C2)</f>
        <v>0.1</v>
      </c>
    </row>
    <row r="7" spans="1:2" ht="15.5" x14ac:dyDescent="0.35">
      <c r="A7" s="2" t="s">
        <v>27</v>
      </c>
      <c r="B7" s="2">
        <v>0</v>
      </c>
    </row>
    <row r="8" spans="1:2" ht="15.5" x14ac:dyDescent="0.35">
      <c r="A8" s="2" t="s">
        <v>29</v>
      </c>
      <c r="B8" s="2">
        <v>0</v>
      </c>
    </row>
    <row r="9" spans="1:2" ht="15.5" x14ac:dyDescent="0.35">
      <c r="A9" s="2" t="s">
        <v>34</v>
      </c>
      <c r="B9" s="2">
        <v>0</v>
      </c>
    </row>
    <row r="10" spans="1:2" ht="15.5" x14ac:dyDescent="0.35">
      <c r="A10" s="2" t="s">
        <v>35</v>
      </c>
      <c r="B10" s="2">
        <v>0</v>
      </c>
    </row>
    <row r="11" spans="1:2" ht="15.5" x14ac:dyDescent="0.35">
      <c r="A11" s="2" t="s">
        <v>40</v>
      </c>
      <c r="B1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Reactions</vt:lpstr>
      <vt:lpstr>Local Environment</vt:lpstr>
      <vt:lpstr>Input-Output 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</dc:creator>
  <cp:lastModifiedBy>Shivam Chaturvedi</cp:lastModifiedBy>
  <dcterms:created xsi:type="dcterms:W3CDTF">2015-06-05T18:17:20Z</dcterms:created>
  <dcterms:modified xsi:type="dcterms:W3CDTF">2026-01-02T10:35:01Z</dcterms:modified>
</cp:coreProperties>
</file>